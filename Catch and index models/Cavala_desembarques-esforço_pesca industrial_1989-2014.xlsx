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he\OneDrive\Documents\Cabo-Verde---Stock-Assessment\Catch and index models\"/>
    </mc:Choice>
  </mc:AlternateContent>
  <xr:revisionPtr revIDLastSave="0" documentId="13_ncr:1_{BAB16AA1-5F99-4B19-B07D-10BFBEB64498}" xr6:coauthVersionLast="47" xr6:coauthVersionMax="47" xr10:uidLastSave="{00000000-0000-0000-0000-000000000000}"/>
  <bookViews>
    <workbookView xWindow="1905" yWindow="1905" windowWidth="21600" windowHeight="11295" xr2:uid="{10B2ECB6-BF78-422C-9973-5B1590335CB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D6" i="1"/>
  <c r="F21" i="1" l="1"/>
  <c r="E5" i="1"/>
  <c r="D5" i="1"/>
  <c r="F5" i="1" s="1"/>
  <c r="D12" i="1"/>
  <c r="F12" i="1" s="1"/>
  <c r="F8" i="1"/>
  <c r="G8" i="1"/>
  <c r="F9" i="1"/>
  <c r="G9" i="1"/>
  <c r="F10" i="1"/>
  <c r="G10" i="1"/>
  <c r="F11" i="1"/>
  <c r="G11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G5" i="1"/>
  <c r="F6" i="1"/>
  <c r="G6" i="1"/>
  <c r="F7" i="1"/>
  <c r="G7" i="1"/>
  <c r="G4" i="1"/>
  <c r="F4" i="1"/>
</calcChain>
</file>

<file path=xl/sharedStrings.xml><?xml version="1.0" encoding="utf-8"?>
<sst xmlns="http://schemas.openxmlformats.org/spreadsheetml/2006/main" count="20" uniqueCount="11">
  <si>
    <t>Linha mão</t>
  </si>
  <si>
    <t>Rede cerco</t>
  </si>
  <si>
    <t>Total</t>
  </si>
  <si>
    <t>ano</t>
  </si>
  <si>
    <t>Desembarque (ton)</t>
  </si>
  <si>
    <t>Esforço(N viagens)</t>
  </si>
  <si>
    <t>Esforço(dias mar)</t>
  </si>
  <si>
    <t>Sem esforço</t>
  </si>
  <si>
    <t>engenhos agregados</t>
  </si>
  <si>
    <t>Observação</t>
  </si>
  <si>
    <t>Dados históricos Cavala Preta _ Pesca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</si>
</sst>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2EB2-2E39-41E6-903F-52A3148E0ED0}">
  <dimension ref="A1:H29"/>
  <sheetViews>
    <sheetView tabSelected="1" zoomScale="120" zoomScaleNormal="12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H7" sqref="H7"/>
    </sheetView>
  </sheetViews>
  <sheetFormatPr defaultRowHeight="15" x14ac:dyDescent="0.25"/>
  <cols>
    <col min="2" max="7" width="13.28515625" customWidth="1"/>
    <col min="8" max="8" width="17.85546875" bestFit="1" customWidth="1"/>
  </cols>
  <sheetData>
    <row r="1" spans="1:8" ht="21" x14ac:dyDescent="0.35">
      <c r="A1" s="7" t="s">
        <v>10</v>
      </c>
      <c r="B1" s="7"/>
      <c r="C1" s="7"/>
      <c r="D1" s="7"/>
      <c r="E1" s="7"/>
      <c r="F1" s="7"/>
      <c r="G1" s="7"/>
    </row>
    <row r="2" spans="1:8" x14ac:dyDescent="0.25">
      <c r="A2" s="1"/>
      <c r="B2" s="1" t="s">
        <v>0</v>
      </c>
      <c r="C2" s="1"/>
      <c r="D2" s="1" t="s">
        <v>1</v>
      </c>
      <c r="E2" s="1"/>
      <c r="F2" s="4" t="s">
        <v>2</v>
      </c>
      <c r="G2" s="4"/>
      <c r="H2" s="1"/>
    </row>
    <row r="3" spans="1:8" ht="30" customHeight="1" x14ac:dyDescent="0.25">
      <c r="A3" s="1" t="s">
        <v>3</v>
      </c>
      <c r="B3" s="2" t="s">
        <v>4</v>
      </c>
      <c r="C3" s="2" t="s">
        <v>5</v>
      </c>
      <c r="D3" s="2" t="s">
        <v>4</v>
      </c>
      <c r="E3" s="2" t="s">
        <v>6</v>
      </c>
      <c r="F3" s="3" t="s">
        <v>4</v>
      </c>
      <c r="G3" s="3" t="s">
        <v>6</v>
      </c>
      <c r="H3" s="2" t="s">
        <v>9</v>
      </c>
    </row>
    <row r="4" spans="1:8" x14ac:dyDescent="0.25">
      <c r="A4">
        <v>1989</v>
      </c>
      <c r="D4">
        <v>165.696</v>
      </c>
      <c r="E4">
        <v>459</v>
      </c>
      <c r="F4" s="5">
        <f>B4+D4</f>
        <v>165.696</v>
      </c>
      <c r="G4" s="5">
        <f>C4+E4</f>
        <v>459</v>
      </c>
    </row>
    <row r="5" spans="1:8" x14ac:dyDescent="0.25">
      <c r="A5">
        <v>1990</v>
      </c>
      <c r="D5">
        <f>63.18+144.337</f>
        <v>207.517</v>
      </c>
      <c r="E5">
        <f>133+319</f>
        <v>452</v>
      </c>
      <c r="F5" s="5">
        <f t="shared" ref="F5:F7" si="0">B5+D5</f>
        <v>207.517</v>
      </c>
      <c r="G5" s="5">
        <f t="shared" ref="G5:G7" si="1">C5+E5</f>
        <v>452</v>
      </c>
    </row>
    <row r="6" spans="1:8" x14ac:dyDescent="0.25">
      <c r="A6" s="6">
        <v>1991</v>
      </c>
      <c r="D6">
        <f>106.367+135.858</f>
        <v>242.22500000000002</v>
      </c>
      <c r="E6">
        <f>966+188</f>
        <v>1154</v>
      </c>
      <c r="F6" s="5">
        <f t="shared" si="0"/>
        <v>242.22500000000002</v>
      </c>
      <c r="G6" s="5">
        <f t="shared" si="1"/>
        <v>1154</v>
      </c>
    </row>
    <row r="7" spans="1:8" x14ac:dyDescent="0.25">
      <c r="A7">
        <v>1992</v>
      </c>
      <c r="D7">
        <v>1116.2460000000001</v>
      </c>
      <c r="E7">
        <v>807</v>
      </c>
      <c r="F7" s="5">
        <f t="shared" si="0"/>
        <v>1116.2460000000001</v>
      </c>
      <c r="G7" s="5">
        <f t="shared" si="1"/>
        <v>807</v>
      </c>
    </row>
    <row r="8" spans="1:8" x14ac:dyDescent="0.25">
      <c r="A8">
        <v>1993</v>
      </c>
      <c r="D8">
        <v>148.56</v>
      </c>
      <c r="E8">
        <v>577</v>
      </c>
      <c r="F8" s="5">
        <f t="shared" ref="F8:F27" si="2">B8+D8</f>
        <v>148.56</v>
      </c>
      <c r="G8" s="5">
        <f t="shared" ref="G8:G27" si="3">C8+E8</f>
        <v>577</v>
      </c>
    </row>
    <row r="9" spans="1:8" x14ac:dyDescent="0.25">
      <c r="A9" s="6">
        <v>1994</v>
      </c>
      <c r="D9">
        <v>671.26300000000003</v>
      </c>
      <c r="E9">
        <v>2821</v>
      </c>
      <c r="F9" s="5">
        <f t="shared" si="2"/>
        <v>671.26300000000003</v>
      </c>
      <c r="G9" s="5">
        <f t="shared" si="3"/>
        <v>2821</v>
      </c>
      <c r="H9" t="s">
        <v>8</v>
      </c>
    </row>
    <row r="10" spans="1:8" x14ac:dyDescent="0.25">
      <c r="A10" s="6">
        <v>1995</v>
      </c>
      <c r="D10">
        <v>868.654</v>
      </c>
      <c r="E10">
        <v>3106</v>
      </c>
      <c r="F10" s="5">
        <f t="shared" si="2"/>
        <v>868.654</v>
      </c>
      <c r="G10" s="5">
        <f t="shared" si="3"/>
        <v>3106</v>
      </c>
      <c r="H10" t="s">
        <v>8</v>
      </c>
    </row>
    <row r="11" spans="1:8" x14ac:dyDescent="0.25">
      <c r="A11" s="6">
        <v>1996</v>
      </c>
      <c r="D11">
        <v>966.03700000000003</v>
      </c>
      <c r="E11">
        <v>3426</v>
      </c>
      <c r="F11" s="5">
        <f t="shared" si="2"/>
        <v>966.03700000000003</v>
      </c>
      <c r="G11" s="5">
        <f t="shared" si="3"/>
        <v>3426</v>
      </c>
      <c r="H11" t="s">
        <v>8</v>
      </c>
    </row>
    <row r="12" spans="1:8" x14ac:dyDescent="0.25">
      <c r="A12">
        <v>1997</v>
      </c>
      <c r="D12">
        <f>1774.704+419.712</f>
        <v>2194.4160000000002</v>
      </c>
      <c r="E12">
        <v>4154</v>
      </c>
      <c r="F12" s="5">
        <f t="shared" si="2"/>
        <v>2194.4160000000002</v>
      </c>
      <c r="G12" s="5">
        <f t="shared" si="3"/>
        <v>4154</v>
      </c>
      <c r="H12" t="s">
        <v>8</v>
      </c>
    </row>
    <row r="13" spans="1:8" x14ac:dyDescent="0.25">
      <c r="A13">
        <v>1998</v>
      </c>
      <c r="D13">
        <v>1882.1189999999999</v>
      </c>
      <c r="E13">
        <v>5359</v>
      </c>
      <c r="F13" s="5">
        <f t="shared" si="2"/>
        <v>1882.1189999999999</v>
      </c>
      <c r="G13" s="5">
        <f t="shared" si="3"/>
        <v>5359</v>
      </c>
      <c r="H13" t="s">
        <v>8</v>
      </c>
    </row>
    <row r="14" spans="1:8" x14ac:dyDescent="0.25">
      <c r="A14">
        <v>1999</v>
      </c>
      <c r="D14">
        <v>1622.0119999999999</v>
      </c>
      <c r="E14">
        <v>5949</v>
      </c>
      <c r="F14" s="5">
        <f t="shared" si="2"/>
        <v>1622.0119999999999</v>
      </c>
      <c r="G14" s="5">
        <f t="shared" si="3"/>
        <v>5949</v>
      </c>
      <c r="H14" t="s">
        <v>8</v>
      </c>
    </row>
    <row r="15" spans="1:8" x14ac:dyDescent="0.25">
      <c r="A15">
        <v>2000</v>
      </c>
      <c r="D15">
        <v>1075.395</v>
      </c>
      <c r="E15">
        <v>3575</v>
      </c>
      <c r="F15" s="5">
        <f t="shared" si="2"/>
        <v>1075.395</v>
      </c>
      <c r="G15" s="5">
        <f t="shared" si="3"/>
        <v>3575</v>
      </c>
    </row>
    <row r="16" spans="1:8" x14ac:dyDescent="0.25">
      <c r="A16" s="6">
        <v>2001</v>
      </c>
      <c r="B16">
        <v>1.47</v>
      </c>
      <c r="C16">
        <v>1371</v>
      </c>
      <c r="D16">
        <v>847.7</v>
      </c>
      <c r="E16">
        <v>1996</v>
      </c>
      <c r="F16" s="5">
        <f t="shared" si="2"/>
        <v>849.17000000000007</v>
      </c>
      <c r="G16" s="5">
        <f t="shared" si="3"/>
        <v>3367</v>
      </c>
    </row>
    <row r="17" spans="1:8" x14ac:dyDescent="0.25">
      <c r="A17" s="6">
        <v>2002</v>
      </c>
      <c r="B17">
        <v>5.6</v>
      </c>
      <c r="C17">
        <v>2346</v>
      </c>
      <c r="D17">
        <v>1751.4469999999999</v>
      </c>
      <c r="E17">
        <v>2992</v>
      </c>
      <c r="F17" s="5">
        <f t="shared" si="2"/>
        <v>1757.0469999999998</v>
      </c>
      <c r="G17" s="5">
        <f t="shared" si="3"/>
        <v>5338</v>
      </c>
    </row>
    <row r="18" spans="1:8" x14ac:dyDescent="0.25">
      <c r="A18" s="6">
        <v>2003</v>
      </c>
      <c r="B18">
        <v>2.4</v>
      </c>
      <c r="C18">
        <v>1733</v>
      </c>
      <c r="D18">
        <v>1398.02</v>
      </c>
      <c r="E18">
        <v>2557</v>
      </c>
      <c r="F18" s="5">
        <f t="shared" si="2"/>
        <v>1400.42</v>
      </c>
      <c r="G18" s="5">
        <f t="shared" si="3"/>
        <v>4290</v>
      </c>
    </row>
    <row r="19" spans="1:8" x14ac:dyDescent="0.25">
      <c r="A19" s="6">
        <v>2004</v>
      </c>
      <c r="B19">
        <v>7.2</v>
      </c>
      <c r="C19">
        <v>967</v>
      </c>
      <c r="D19">
        <v>1085.991</v>
      </c>
      <c r="E19">
        <v>1581</v>
      </c>
      <c r="F19" s="5">
        <f t="shared" si="2"/>
        <v>1093.191</v>
      </c>
      <c r="G19" s="5">
        <f t="shared" si="3"/>
        <v>2548</v>
      </c>
    </row>
    <row r="20" spans="1:8" x14ac:dyDescent="0.25">
      <c r="A20">
        <v>2005</v>
      </c>
      <c r="B20">
        <v>3.5</v>
      </c>
      <c r="C20">
        <v>480</v>
      </c>
      <c r="D20">
        <v>1460.566</v>
      </c>
      <c r="E20">
        <v>705</v>
      </c>
      <c r="F20" s="5">
        <f t="shared" si="2"/>
        <v>1464.066</v>
      </c>
      <c r="G20" s="5">
        <f t="shared" si="3"/>
        <v>1185</v>
      </c>
    </row>
    <row r="21" spans="1:8" x14ac:dyDescent="0.25">
      <c r="A21">
        <v>2006</v>
      </c>
      <c r="C21">
        <v>458</v>
      </c>
      <c r="D21">
        <v>1937.453</v>
      </c>
      <c r="E21">
        <v>902</v>
      </c>
      <c r="F21" s="5">
        <f>B21+D21</f>
        <v>1937.453</v>
      </c>
      <c r="G21" s="5">
        <f t="shared" si="3"/>
        <v>1360</v>
      </c>
    </row>
    <row r="22" spans="1:8" x14ac:dyDescent="0.25">
      <c r="A22">
        <v>2007</v>
      </c>
      <c r="B22">
        <v>4.8499999999999996</v>
      </c>
      <c r="C22">
        <v>791</v>
      </c>
      <c r="D22">
        <v>2292.7159999999999</v>
      </c>
      <c r="E22">
        <v>2337</v>
      </c>
      <c r="F22" s="5">
        <f t="shared" si="2"/>
        <v>2297.5659999999998</v>
      </c>
      <c r="G22" s="5">
        <f t="shared" si="3"/>
        <v>3128</v>
      </c>
    </row>
    <row r="23" spans="1:8" x14ac:dyDescent="0.25">
      <c r="A23">
        <v>2008</v>
      </c>
      <c r="B23">
        <v>0.75</v>
      </c>
      <c r="C23">
        <v>2307</v>
      </c>
      <c r="D23">
        <v>2033.549</v>
      </c>
      <c r="E23">
        <v>2664</v>
      </c>
      <c r="F23" s="5">
        <f t="shared" si="2"/>
        <v>2034.299</v>
      </c>
      <c r="G23" s="5">
        <f t="shared" si="3"/>
        <v>4971</v>
      </c>
    </row>
    <row r="24" spans="1:8" x14ac:dyDescent="0.25">
      <c r="A24">
        <v>2009</v>
      </c>
      <c r="B24">
        <v>9.1</v>
      </c>
      <c r="C24">
        <v>2921</v>
      </c>
      <c r="D24">
        <v>1373.338</v>
      </c>
      <c r="E24">
        <v>3243</v>
      </c>
      <c r="F24" s="5">
        <f t="shared" si="2"/>
        <v>1382.4379999999999</v>
      </c>
      <c r="G24" s="5">
        <f t="shared" si="3"/>
        <v>6164</v>
      </c>
    </row>
    <row r="25" spans="1:8" x14ac:dyDescent="0.25">
      <c r="A25">
        <v>2010</v>
      </c>
      <c r="C25">
        <v>3630</v>
      </c>
      <c r="D25">
        <v>1442.3</v>
      </c>
      <c r="E25">
        <v>3567</v>
      </c>
      <c r="F25" s="5">
        <f t="shared" si="2"/>
        <v>1442.3</v>
      </c>
      <c r="G25" s="5">
        <f t="shared" si="3"/>
        <v>7197</v>
      </c>
    </row>
    <row r="26" spans="1:8" x14ac:dyDescent="0.25">
      <c r="A26">
        <v>2011</v>
      </c>
      <c r="B26">
        <v>6.67</v>
      </c>
      <c r="C26">
        <v>3780</v>
      </c>
      <c r="D26">
        <v>1911.578</v>
      </c>
      <c r="E26">
        <v>3057</v>
      </c>
      <c r="F26" s="5">
        <f t="shared" si="2"/>
        <v>1918.248</v>
      </c>
      <c r="G26" s="5">
        <f t="shared" si="3"/>
        <v>6837</v>
      </c>
    </row>
    <row r="27" spans="1:8" x14ac:dyDescent="0.25">
      <c r="A27">
        <v>2012</v>
      </c>
      <c r="B27">
        <v>2</v>
      </c>
      <c r="C27">
        <v>2727</v>
      </c>
      <c r="D27">
        <v>2488.848</v>
      </c>
      <c r="E27">
        <v>3435</v>
      </c>
      <c r="F27" s="5">
        <f t="shared" si="2"/>
        <v>2490.848</v>
      </c>
      <c r="G27" s="5">
        <f t="shared" si="3"/>
        <v>6162</v>
      </c>
    </row>
    <row r="28" spans="1:8" x14ac:dyDescent="0.25">
      <c r="A28">
        <v>2013</v>
      </c>
      <c r="F28" s="5">
        <v>2210.1055000000001</v>
      </c>
      <c r="G28" s="5"/>
      <c r="H28" t="s">
        <v>7</v>
      </c>
    </row>
    <row r="29" spans="1:8" x14ac:dyDescent="0.25">
      <c r="A29">
        <v>2014</v>
      </c>
      <c r="F29" s="5">
        <v>1273.7752000448199</v>
      </c>
      <c r="G29" s="5">
        <v>4946</v>
      </c>
      <c r="H29" t="s">
        <v>8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IMAR / SV - Alciany Nascimento da Luz</dc:creator>
  <cp:lastModifiedBy>matheus Lourenço</cp:lastModifiedBy>
  <dcterms:created xsi:type="dcterms:W3CDTF">2026-09-16T23:27:39Z</dcterms:created>
  <dcterms:modified xsi:type="dcterms:W3CDTF">2026-09-18T14:14:44Z</dcterms:modified>
</cp:coreProperties>
</file>